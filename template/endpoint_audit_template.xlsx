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Аудит эндпоинтов" sheetId="1" state="visible" r:id="rId1"/>
    <sheet xmlns:r="http://schemas.openxmlformats.org/officeDocument/2006/relationships" name="2. Классификация сервисов" sheetId="2" state="visible" r:id="rId2"/>
    <sheet xmlns:r="http://schemas.openxmlformats.org/officeDocument/2006/relationships" name="3. Матрица зависимостей" sheetId="3" state="visible" r:id="rId3"/>
    <sheet xmlns:r="http://schemas.openxmlformats.org/officeDocument/2006/relationships" name="4. Сводка" sheetId="4" state="visible" r:id="rId4"/>
    <sheet xmlns:r="http://schemas.openxmlformats.org/officeDocument/2006/relationships" name="5. Инструкция" sheetId="5" state="visible" r:id="rId5"/>
  </sheets>
  <definedNames>
    <definedName name="_xlnm._FilterDatabase" localSheetId="0" hidden="1">'1. Аудит эндпоинтов'!$A$1:$I$2000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333333"/>
      <sz val="10"/>
    </font>
    <font>
      <name val="Calibri"/>
      <color rgb="004E4E9A"/>
      <sz val="10"/>
    </font>
    <font>
      <name val="Calibri"/>
      <color rgb="004E9AF5"/>
      <sz val="10"/>
    </font>
    <font>
      <name val="Calibri"/>
      <b val="1"/>
      <color rgb="00AAAAAA"/>
      <sz val="10"/>
    </font>
    <font>
      <name val="Calibri"/>
      <b val="1"/>
      <color rgb="00333333"/>
      <sz val="16"/>
    </font>
    <font>
      <name val="Calibri"/>
      <b val="1"/>
      <color rgb="00333333"/>
      <sz val="13"/>
    </font>
    <font>
      <name val="Calibr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35" customWidth="1" min="4" max="4"/>
    <col width="30" customWidth="1" min="5" max="5"/>
    <col width="18" customWidth="1" min="6" max="6"/>
    <col width="35" customWidth="1" min="7" max="7"/>
    <col width="30" customWidth="1" min="8" max="8"/>
    <col width="25" customWidth="1" min="9" max="9"/>
  </cols>
  <sheetData>
    <row r="1">
      <c r="A1" s="1" t="inlineStr">
        <is>
          <t>№</t>
        </is>
      </c>
      <c r="B1" s="1" t="inlineStr">
        <is>
          <t>Микросервис</t>
        </is>
      </c>
      <c r="C1" s="1" t="inlineStr">
        <is>
          <t>HTTP метод</t>
        </is>
      </c>
      <c r="D1" s="1" t="inlineStr">
        <is>
          <t>Эндпоинт (URL)</t>
        </is>
      </c>
      <c r="E1" s="1" t="inlineStr">
        <is>
          <t>Краткое описание</t>
        </is>
      </c>
      <c r="F1" s="1" t="inlineStr">
        <is>
          <t>Тип</t>
        </is>
      </c>
      <c r="G1" s="1" t="inlineStr">
        <is>
          <t>Во кого ходит (через запятую)</t>
        </is>
      </c>
      <c r="H1" s="1" t="inlineStr">
        <is>
          <t>Кто вызывает этот эндпоинт</t>
        </is>
      </c>
      <c r="I1" s="1" t="inlineStr">
        <is>
          <t>Комментарий</t>
        </is>
      </c>
    </row>
    <row r="2">
      <c r="A2" s="2" t="n">
        <v>1</v>
      </c>
      <c r="B2" s="2" t="inlineStr">
        <is>
          <t>cards-service</t>
        </is>
      </c>
      <c r="C2" s="2" t="inlineStr">
        <is>
          <t>GET</t>
        </is>
      </c>
      <c r="D2" s="2" t="inlineStr">
        <is>
          <t>/api/cards/{id}</t>
        </is>
      </c>
      <c r="E2" s="2" t="inlineStr">
        <is>
          <t>Данные карты</t>
        </is>
      </c>
      <c r="F2" s="2" t="inlineStr">
        <is>
          <t>CRUD</t>
        </is>
      </c>
      <c r="G2" s="2" t="inlineStr"/>
      <c r="H2" s="2" t="inlineStr">
        <is>
          <t>web-gateway</t>
        </is>
      </c>
      <c r="I2" s="2" t="inlineStr"/>
    </row>
    <row r="3">
      <c r="A3" s="2" t="n">
        <v>2</v>
      </c>
      <c r="B3" s="2" t="inlineStr">
        <is>
          <t>cards-service</t>
        </is>
      </c>
      <c r="C3" s="2" t="inlineStr">
        <is>
          <t>POST</t>
        </is>
      </c>
      <c r="D3" s="2" t="inlineStr">
        <is>
          <t>/api/cards/{id}/unblock-check</t>
        </is>
      </c>
      <c r="E3" s="2" t="inlineStr">
        <is>
          <t>Проверка снятия блокировки</t>
        </is>
      </c>
      <c r="F3" s="2" t="inlineStr">
        <is>
          <t>Агрегация</t>
        </is>
      </c>
      <c r="G3" s="2" t="inlineStr">
        <is>
          <t>accounts-service, clients-service</t>
        </is>
      </c>
      <c r="H3" s="2" t="inlineStr">
        <is>
          <t>web-gateway</t>
        </is>
      </c>
      <c r="I3" s="2" t="inlineStr">
        <is>
          <t>Перенести в gateway</t>
        </is>
      </c>
    </row>
    <row r="4">
      <c r="A4" s="2" t="n">
        <v>3</v>
      </c>
      <c r="B4" s="2" t="inlineStr">
        <is>
          <t>cards-service</t>
        </is>
      </c>
      <c r="C4" s="2" t="inlineStr">
        <is>
          <t>POST</t>
        </is>
      </c>
      <c r="D4" s="2" t="inlineStr">
        <is>
          <t>/api/cards/{id}/block</t>
        </is>
      </c>
      <c r="E4" s="2" t="inlineStr">
        <is>
          <t>Блокировка карты</t>
        </is>
      </c>
      <c r="F4" s="2" t="inlineStr">
        <is>
          <t>Бизнес-логика</t>
        </is>
      </c>
      <c r="G4" s="2" t="inlineStr"/>
      <c r="H4" s="2" t="inlineStr">
        <is>
          <t>web-gateway</t>
        </is>
      </c>
      <c r="I4" s="2" t="inlineStr"/>
    </row>
    <row r="5">
      <c r="A5" s="2" t="n">
        <v>4</v>
      </c>
      <c r="B5" s="2" t="inlineStr">
        <is>
          <t>accounts-service</t>
        </is>
      </c>
      <c r="C5" s="2" t="inlineStr">
        <is>
          <t>GET</t>
        </is>
      </c>
      <c r="D5" s="2" t="inlineStr">
        <is>
          <t>/api/accounts</t>
        </is>
      </c>
      <c r="E5" s="2" t="inlineStr">
        <is>
          <t>Список счетов клиента</t>
        </is>
      </c>
      <c r="F5" s="2" t="inlineStr">
        <is>
          <t>CRUD</t>
        </is>
      </c>
      <c r="G5" s="2" t="inlineStr"/>
      <c r="H5" s="2" t="inlineStr">
        <is>
          <t>web-gateway, cards-service</t>
        </is>
      </c>
      <c r="I5" s="2" t="inlineStr"/>
    </row>
    <row r="6">
      <c r="A6" s="2" t="n">
        <v>5</v>
      </c>
      <c r="B6" s="2" t="inlineStr">
        <is>
          <t>accounts-service</t>
        </is>
      </c>
      <c r="C6" s="2" t="inlineStr">
        <is>
          <t>GET</t>
        </is>
      </c>
      <c r="D6" s="2" t="inlineStr">
        <is>
          <t>/api/accounts/{id}/status</t>
        </is>
      </c>
      <c r="E6" s="2" t="inlineStr">
        <is>
          <t>Статус счета</t>
        </is>
      </c>
      <c r="F6" s="2" t="inlineStr">
        <is>
          <t>Внутренний</t>
        </is>
      </c>
      <c r="G6" s="2" t="inlineStr"/>
      <c r="H6" s="2" t="inlineStr">
        <is>
          <t>cards-service</t>
        </is>
      </c>
      <c r="I6" s="2" t="inlineStr"/>
    </row>
  </sheetData>
  <autoFilter ref="A1:I2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2" customWidth="1" min="4" max="4"/>
    <col width="14" customWidth="1" min="5" max="5"/>
    <col width="12" customWidth="1" min="6" max="6"/>
    <col width="40" customWidth="1" min="7" max="7"/>
    <col width="40" customWidth="1" min="8" max="8"/>
  </cols>
  <sheetData>
    <row r="1">
      <c r="A1" s="1" t="inlineStr">
        <is>
          <t>Микросервис</t>
        </is>
      </c>
      <c r="B1" s="1" t="inlineStr">
        <is>
          <t>Всего эндпоинтов</t>
        </is>
      </c>
      <c r="C1" s="1" t="inlineStr">
        <is>
          <t>CRUD</t>
        </is>
      </c>
      <c r="D1" s="1" t="inlineStr">
        <is>
          <t>Агрегация</t>
        </is>
      </c>
      <c r="E1" s="1" t="inlineStr">
        <is>
          <t>Бизнес-логика</t>
        </is>
      </c>
      <c r="F1" s="1" t="inlineStr">
        <is>
          <t>Внутренние</t>
        </is>
      </c>
      <c r="G1" s="1" t="inlineStr">
        <is>
          <t>Во кого ходит (авто)</t>
        </is>
      </c>
      <c r="H1" s="1" t="inlineStr">
        <is>
          <t>Кто вызывает (авто)</t>
        </is>
      </c>
    </row>
    <row r="2">
      <c r="A2" s="3" t="inlineStr">
        <is>
          <t>cards-service</t>
        </is>
      </c>
      <c r="B2" s="4">
        <f>COUNTIF('1. Аудит эндпоинтов'!B2:B200,A2)</f>
        <v/>
      </c>
      <c r="C2" s="4">
        <f>COUNTIFS('1. Аудит эндпоинтов'!B2:B200,A2,'1. Аудит эндпоинтов'!F2:F200,"CRUD")</f>
        <v/>
      </c>
      <c r="D2" s="4">
        <f>COUNTIFS('1. Аудит эндпоинтов'!B2:B200,A2,'1. Аудит эндпоинтов'!F2:F200,"Агрегация")</f>
        <v/>
      </c>
      <c r="E2" s="4">
        <f>COUNTIFS('1. Аудит эндпоинтов'!B2:B200,A2,'1. Аудит эндпоинтов'!F2:F200,"Бизнес-логика")</f>
        <v/>
      </c>
      <c r="F2" s="4">
        <f>COUNTIFS('1. Аудит эндпоинтов'!B2:B200,A2,'1. Аудит эндпоинтов'!F2:F200,"Внутренний")</f>
        <v/>
      </c>
      <c r="G2" s="5">
        <f>TEXTJOIN(", ",TRUE,UNIQUE(FILTER('1. Аудит эндпоинтов'!G2:G200,('1. Аудит эндпоинтов'!B2:B200=A2)*('1. Аудит эндпоинтов'!G2:G200&lt;&gt;""))))</f>
        <v/>
      </c>
      <c r="H2" s="5">
        <f>TEXTJOIN(", ",TRUE,UNIQUE(FILTER('1. Аудит эндпоинтов'!H2:H200,('1. Аудит эндпоинтов'!B2:B200=A2)*('1. Аудит эндпоинтов'!H2:H200&lt;&gt;""))))</f>
        <v/>
      </c>
    </row>
    <row r="3">
      <c r="A3" s="3" t="inlineStr">
        <is>
          <t>accounts-service</t>
        </is>
      </c>
      <c r="B3" s="4">
        <f>COUNTIF('1. Аудит эндпоинтов'!B2:B200,A3)</f>
        <v/>
      </c>
      <c r="C3" s="4">
        <f>COUNTIFS('1. Аудит эндпоинтов'!B2:B200,A3,'1. Аудит эндпоинтов'!F2:F200,"CRUD")</f>
        <v/>
      </c>
      <c r="D3" s="4">
        <f>COUNTIFS('1. Аудит эндпоинтов'!B2:B200,A3,'1. Аудит эндпоинтов'!F2:F200,"Агрегация")</f>
        <v/>
      </c>
      <c r="E3" s="4">
        <f>COUNTIFS('1. Аудит эндпоинтов'!B2:B200,A3,'1. Аудит эндпоинтов'!F2:F200,"Бизнес-логика")</f>
        <v/>
      </c>
      <c r="F3" s="4">
        <f>COUNTIFS('1. Аудит эндпоинтов'!B2:B200,A3,'1. Аудит эндпоинтов'!F2:F200,"Внутренний")</f>
        <v/>
      </c>
      <c r="G3" s="5">
        <f>TEXTJOIN(", ",TRUE,UNIQUE(FILTER('1. Аудит эндпоинтов'!G2:G200,('1. Аудит эндпоинтов'!B2:B200=A3)*('1. Аудит эндпоинтов'!G2:G200&lt;&gt;""))))</f>
        <v/>
      </c>
      <c r="H3" s="5">
        <f>TEXTJOIN(", ",TRUE,UNIQUE(FILTER('1. Аудит эндпоинтов'!H2:H200,('1. Аудит эндпоинтов'!B2:B200=A3)*('1. Аудит эндпоинтов'!H2:H200&lt;&gt;""))))</f>
        <v/>
      </c>
    </row>
    <row r="4">
      <c r="A4" s="3" t="inlineStr">
        <is>
          <t>clients-service</t>
        </is>
      </c>
      <c r="B4" s="4">
        <f>COUNTIF('1. Аудит эндпоинтов'!B2:B200,A4)</f>
        <v/>
      </c>
      <c r="C4" s="4">
        <f>COUNTIFS('1. Аудит эндпоинтов'!B2:B200,A4,'1. Аудит эндпоинтов'!F2:F200,"CRUD")</f>
        <v/>
      </c>
      <c r="D4" s="4">
        <f>COUNTIFS('1. Аудит эндпоинтов'!B2:B200,A4,'1. Аудит эндпоинтов'!F2:F200,"Агрегация")</f>
        <v/>
      </c>
      <c r="E4" s="4">
        <f>COUNTIFS('1. Аудит эндпоинтов'!B2:B200,A4,'1. Аудит эндпоинтов'!F2:F200,"Бизнес-логика")</f>
        <v/>
      </c>
      <c r="F4" s="4">
        <f>COUNTIFS('1. Аудит эндпоинтов'!B2:B200,A4,'1. Аудит эндпоинтов'!F2:F200,"Внутренний")</f>
        <v/>
      </c>
      <c r="G4" s="5">
        <f>TEXTJOIN(", ",TRUE,UNIQUE(FILTER('1. Аудит эндпоинтов'!G2:G200,('1. Аудит эндпоинтов'!B2:B200=A4)*('1. Аудит эндпоинтов'!G2:G200&lt;&gt;""))))</f>
        <v/>
      </c>
      <c r="H4" s="5">
        <f>TEXTJOIN(", ",TRUE,UNIQUE(FILTER('1. Аудит эндпоинтов'!H2:H200,('1. Аудит эндпоинтов'!B2:B200=A4)*('1. Аудит эндпоинтов'!H2:H200&lt;&gt;""))))</f>
        <v/>
      </c>
    </row>
    <row r="5">
      <c r="A5" s="3" t="inlineStr">
        <is>
          <t>sessions-service</t>
        </is>
      </c>
      <c r="B5" s="4">
        <f>COUNTIF('1. Аудит эндпоинтов'!B2:B200,A5)</f>
        <v/>
      </c>
      <c r="C5" s="4">
        <f>COUNTIFS('1. Аудит эндпоинтов'!B2:B200,A5,'1. Аудит эндпоинтов'!F2:F200,"CRUD")</f>
        <v/>
      </c>
      <c r="D5" s="4">
        <f>COUNTIFS('1. Аудит эндпоинтов'!B2:B200,A5,'1. Аудит эндпоинтов'!F2:F200,"Агрегация")</f>
        <v/>
      </c>
      <c r="E5" s="4">
        <f>COUNTIFS('1. Аудит эндпоинтов'!B2:B200,A5,'1. Аудит эндпоинтов'!F2:F200,"Бизнес-логика")</f>
        <v/>
      </c>
      <c r="F5" s="4">
        <f>COUNTIFS('1. Аудит эндпоинтов'!B2:B200,A5,'1. Аудит эндпоинтов'!F2:F200,"Внутренний")</f>
        <v/>
      </c>
      <c r="G5" s="5">
        <f>TEXTJOIN(", ",TRUE,UNIQUE(FILTER('1. Аудит эндпоинтов'!G2:G200,('1. Аудит эндпоинтов'!B2:B200=A5)*('1. Аудит эндпоинтов'!G2:G200&lt;&gt;""))))</f>
        <v/>
      </c>
      <c r="H5" s="5">
        <f>TEXTJOIN(", ",TRUE,UNIQUE(FILTER('1. Аудит эндпоинтов'!H2:H200,('1. Аудит эндпоинтов'!B2:B200=A5)*('1. Аудит эндпоинтов'!H2:H200&lt;&gt;""))))</f>
        <v/>
      </c>
    </row>
    <row r="6">
      <c r="A6" s="3" t="inlineStr">
        <is>
          <t>orders-service</t>
        </is>
      </c>
      <c r="B6" s="4">
        <f>COUNTIF('1. Аудит эндпоинтов'!B2:B200,A6)</f>
        <v/>
      </c>
      <c r="C6" s="4">
        <f>COUNTIFS('1. Аудит эндпоинтов'!B2:B200,A6,'1. Аудит эндпоинтов'!F2:F200,"CRUD")</f>
        <v/>
      </c>
      <c r="D6" s="4">
        <f>COUNTIFS('1. Аудит эндпоинтов'!B2:B200,A6,'1. Аудит эндпоинтов'!F2:F200,"Агрегация")</f>
        <v/>
      </c>
      <c r="E6" s="4">
        <f>COUNTIFS('1. Аудит эндпоинтов'!B2:B200,A6,'1. Аудит эндпоинтов'!F2:F200,"Бизнес-логика")</f>
        <v/>
      </c>
      <c r="F6" s="4">
        <f>COUNTIFS('1. Аудит эндпоинтов'!B2:B200,A6,'1. Аудит эндпоинтов'!F2:F200,"Внутренний")</f>
        <v/>
      </c>
      <c r="G6" s="5">
        <f>TEXTJOIN(", ",TRUE,UNIQUE(FILTER('1. Аудит эндпоинтов'!G2:G200,('1. Аудит эндпоинтов'!B2:B200=A6)*('1. Аудит эндпоинтов'!G2:G200&lt;&gt;""))))</f>
        <v/>
      </c>
      <c r="H6" s="5">
        <f>TEXTJOIN(", ",TRUE,UNIQUE(FILTER('1. Аудит эндпоинтов'!H2:H200,('1. Аудит эндпоинтов'!B2:B200=A6)*('1. Аудит эндпоинтов'!H2:H200&lt;&gt;""))))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Столбцы и строки берутся из листа 2. Связи считаются формулами по листу 1.</t>
        </is>
      </c>
    </row>
    <row r="3">
      <c r="A3" s="1" t="inlineStr">
        <is>
          <t>Из \ В</t>
        </is>
      </c>
      <c r="B3" s="1">
        <f>'2. Классификация сервисов'!A2</f>
        <v/>
      </c>
      <c r="C3" s="1">
        <f>'2. Классификация сервисов'!A3</f>
        <v/>
      </c>
      <c r="D3" s="1">
        <f>'2. Классификация сервисов'!A4</f>
        <v/>
      </c>
      <c r="E3" s="1">
        <f>'2. Классификация сервисов'!A5</f>
        <v/>
      </c>
      <c r="F3" s="1">
        <f>'2. Классификация сервисов'!A6</f>
        <v/>
      </c>
    </row>
    <row r="4">
      <c r="A4" s="7">
        <f>'2. Классификация сервисов'!A2</f>
        <v/>
      </c>
      <c r="B4" s="8" t="inlineStr">
        <is>
          <t>—</t>
        </is>
      </c>
      <c r="C4" s="9">
        <f>IF(COUNTIFS('1. Аудит эндпоинтов'!B2:B200,$A4,'1. Аудит эндпоинтов'!G2:G200,"*"&amp;C$3&amp;"*")&gt;0,"+","")</f>
        <v/>
      </c>
      <c r="D4" s="9">
        <f>IF(COUNTIFS('1. Аудит эндпоинтов'!B2:B200,$A4,'1. Аудит эндпоинтов'!G2:G200,"*"&amp;D$3&amp;"*")&gt;0,"+","")</f>
        <v/>
      </c>
      <c r="E4" s="9">
        <f>IF(COUNTIFS('1. Аудит эндпоинтов'!B2:B200,$A4,'1. Аудит эндпоинтов'!G2:G200,"*"&amp;E$3&amp;"*")&gt;0,"+","")</f>
        <v/>
      </c>
      <c r="F4" s="9">
        <f>IF(COUNTIFS('1. Аудит эндпоинтов'!B2:B200,$A4,'1. Аудит эндпоинтов'!G2:G200,"*"&amp;F$3&amp;"*")&gt;0,"+","")</f>
        <v/>
      </c>
    </row>
    <row r="5">
      <c r="A5" s="7">
        <f>'2. Классификация сервисов'!A3</f>
        <v/>
      </c>
      <c r="B5" s="9">
        <f>IF(COUNTIFS('1. Аудит эндпоинтов'!B2:B200,$A5,'1. Аудит эндпоинтов'!G2:G200,"*"&amp;B$3&amp;"*")&gt;0,"+","")</f>
        <v/>
      </c>
      <c r="C5" s="8" t="inlineStr">
        <is>
          <t>—</t>
        </is>
      </c>
      <c r="D5" s="9">
        <f>IF(COUNTIFS('1. Аудит эндпоинтов'!B2:B200,$A5,'1. Аудит эндпоинтов'!G2:G200,"*"&amp;D$3&amp;"*")&gt;0,"+","")</f>
        <v/>
      </c>
      <c r="E5" s="9">
        <f>IF(COUNTIFS('1. Аудит эндпоинтов'!B2:B200,$A5,'1. Аудит эндпоинтов'!G2:G200,"*"&amp;E$3&amp;"*")&gt;0,"+","")</f>
        <v/>
      </c>
      <c r="F5" s="9">
        <f>IF(COUNTIFS('1. Аудит эндпоинтов'!B2:B200,$A5,'1. Аудит эндпоинтов'!G2:G200,"*"&amp;F$3&amp;"*")&gt;0,"+","")</f>
        <v/>
      </c>
    </row>
    <row r="6">
      <c r="A6" s="7">
        <f>'2. Классификация сервисов'!A4</f>
        <v/>
      </c>
      <c r="B6" s="9">
        <f>IF(COUNTIFS('1. Аудит эндпоинтов'!B2:B200,$A6,'1. Аудит эндпоинтов'!G2:G200,"*"&amp;B$3&amp;"*")&gt;0,"+","")</f>
        <v/>
      </c>
      <c r="C6" s="9">
        <f>IF(COUNTIFS('1. Аудит эндпоинтов'!B2:B200,$A6,'1. Аудит эндпоинтов'!G2:G200,"*"&amp;C$3&amp;"*")&gt;0,"+","")</f>
        <v/>
      </c>
      <c r="D6" s="8" t="inlineStr">
        <is>
          <t>—</t>
        </is>
      </c>
      <c r="E6" s="9">
        <f>IF(COUNTIFS('1. Аудит эндпоинтов'!B2:B200,$A6,'1. Аудит эндпоинтов'!G2:G200,"*"&amp;E$3&amp;"*")&gt;0,"+","")</f>
        <v/>
      </c>
      <c r="F6" s="9">
        <f>IF(COUNTIFS('1. Аудит эндпоинтов'!B2:B200,$A6,'1. Аудит эндпоинтов'!G2:G200,"*"&amp;F$3&amp;"*")&gt;0,"+","")</f>
        <v/>
      </c>
    </row>
    <row r="7">
      <c r="A7" s="7">
        <f>'2. Классификация сервисов'!A5</f>
        <v/>
      </c>
      <c r="B7" s="9">
        <f>IF(COUNTIFS('1. Аудит эндпоинтов'!B2:B200,$A7,'1. Аудит эндпоинтов'!G2:G200,"*"&amp;B$3&amp;"*")&gt;0,"+","")</f>
        <v/>
      </c>
      <c r="C7" s="9">
        <f>IF(COUNTIFS('1. Аудит эндпоинтов'!B2:B200,$A7,'1. Аудит эндпоинтов'!G2:G200,"*"&amp;C$3&amp;"*")&gt;0,"+","")</f>
        <v/>
      </c>
      <c r="D7" s="9">
        <f>IF(COUNTIFS('1. Аудит эндпоинтов'!B2:B200,$A7,'1. Аудит эндпоинтов'!G2:G200,"*"&amp;D$3&amp;"*")&gt;0,"+","")</f>
        <v/>
      </c>
      <c r="E7" s="8" t="inlineStr">
        <is>
          <t>—</t>
        </is>
      </c>
      <c r="F7" s="9">
        <f>IF(COUNTIFS('1. Аудит эндпоинтов'!B2:B200,$A7,'1. Аудит эндпоинтов'!G2:G200,"*"&amp;F$3&amp;"*")&gt;0,"+","")</f>
        <v/>
      </c>
    </row>
    <row r="8">
      <c r="A8" s="7">
        <f>'2. Классификация сервисов'!A6</f>
        <v/>
      </c>
      <c r="B8" s="9">
        <f>IF(COUNTIFS('1. Аудит эндпоинтов'!B2:B200,$A8,'1. Аудит эндпоинтов'!G2:G200,"*"&amp;B$3&amp;"*")&gt;0,"+","")</f>
        <v/>
      </c>
      <c r="C8" s="9">
        <f>IF(COUNTIFS('1. Аудит эндпоинтов'!B2:B200,$A8,'1. Аудит эндпоинтов'!G2:G200,"*"&amp;C$3&amp;"*")&gt;0,"+","")</f>
        <v/>
      </c>
      <c r="D8" s="9">
        <f>IF(COUNTIFS('1. Аудит эндпоинтов'!B2:B200,$A8,'1. Аудит эндпоинтов'!G2:G200,"*"&amp;D$3&amp;"*")&gt;0,"+","")</f>
        <v/>
      </c>
      <c r="E8" s="9">
        <f>IF(COUNTIFS('1. Аудит эндпоинтов'!B2:B200,$A8,'1. Аудит эндпоинтов'!G2:G200,"*"&amp;E$3&amp;"*")&gt;0,"+","")</f>
        <v/>
      </c>
      <c r="F8" s="8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35" customWidth="1" min="4" max="4"/>
    <col width="35" customWidth="1" min="5" max="5"/>
    <col width="18" customWidth="1" min="6" max="6"/>
  </cols>
  <sheetData>
    <row r="1">
      <c r="A1" s="1" t="inlineStr">
        <is>
          <t>Область (группа)</t>
        </is>
      </c>
      <c r="B1" s="1" t="inlineStr">
        <is>
          <t>Сервисы в группе (через запятую)</t>
        </is>
      </c>
      <c r="C1" s="1" t="inlineStr">
        <is>
          <t>Суммарно эндпоинтов</t>
        </is>
      </c>
      <c r="D1" s="1" t="inlineStr">
        <is>
          <t>Общие зависимости</t>
        </is>
      </c>
      <c r="E1" s="1" t="inlineStr">
        <is>
          <t>Предложение</t>
        </is>
      </c>
      <c r="F1" s="1" t="inlineStr">
        <is>
          <t>Приоритет</t>
        </is>
      </c>
    </row>
    <row r="2">
      <c r="A2" s="2" t="inlineStr">
        <is>
          <t>Карты</t>
        </is>
      </c>
      <c r="B2" s="2" t="inlineStr">
        <is>
          <t>cards-service, card-status-service, card-blocking-service</t>
        </is>
      </c>
      <c r="C2" s="4">
        <f>SUMPRODUCT(SUMIF('2. Классификация сервисов'!A2:A6,TRIM(MID(SUBSTITUTE(B2,",",REPT(" ",99)),(ROW(INDIRECT("1:"&amp;LEN(B2)-LEN(SUBSTITUTE(B2,",",""))+1))-1)*99+1,99)),'2. Классификация сервисов'!B2:B6))</f>
        <v/>
      </c>
      <c r="D2" s="2" t="inlineStr"/>
      <c r="E2" s="2" t="inlineStr"/>
      <c r="F2" s="2" t="inlineStr"/>
    </row>
    <row r="3">
      <c r="A3" s="2" t="inlineStr">
        <is>
          <t>Счета</t>
        </is>
      </c>
      <c r="B3" s="2" t="inlineStr">
        <is>
          <t>accounts-service, account-status-service</t>
        </is>
      </c>
      <c r="C3" s="4">
        <f>SUMPRODUCT(SUMIF('2. Классификация сервисов'!A2:A6,TRIM(MID(SUBSTITUTE(B3,",",REPT(" ",99)),(ROW(INDIRECT("1:"&amp;LEN(B3)-LEN(SUBSTITUTE(B3,",",""))+1))-1)*99+1,99)),'2. Классификация сервисов'!B2:B6))</f>
        <v/>
      </c>
      <c r="D3" s="2" t="inlineStr"/>
      <c r="E3" s="2" t="inlineStr"/>
      <c r="F3" s="2" t="inlineStr"/>
    </row>
    <row r="4">
      <c r="A4" s="2" t="inlineStr">
        <is>
          <t>Клиенты</t>
        </is>
      </c>
      <c r="B4" s="2" t="inlineStr">
        <is>
          <t>clients-service, client-profile-service, client-risk-service</t>
        </is>
      </c>
      <c r="C4" s="4">
        <f>SUMPRODUCT(SUMIF('2. Классификация сервисов'!A2:A6,TRIM(MID(SUBSTITUTE(B4,",",REPT(" ",99)),(ROW(INDIRECT("1:"&amp;LEN(B4)-LEN(SUBSTITUTE(B4,",",""))+1))-1)*99+1,99)),'2. Классификация сервисов'!B2:B6))</f>
        <v/>
      </c>
      <c r="D4" s="2" t="inlineStr"/>
      <c r="E4" s="2" t="inlineStr"/>
      <c r="F4" s="2" t="inlineStr"/>
    </row>
    <row r="5">
      <c r="A5" s="2" t="inlineStr">
        <is>
          <t>Сессии</t>
        </is>
      </c>
      <c r="B5" s="2" t="inlineStr">
        <is>
          <t>sessions-service</t>
        </is>
      </c>
      <c r="C5" s="4">
        <f>SUMPRODUCT(SUMIF('2. Классификация сервисов'!A2:A6,TRIM(MID(SUBSTITUTE(B5,",",REPT(" ",99)),(ROW(INDIRECT("1:"&amp;LEN(B5)-LEN(SUBSTITUTE(B5,",",""))+1))-1)*99+1,99)),'2. Классификация сервисов'!B2:B6))</f>
        <v/>
      </c>
      <c r="D5" s="2" t="inlineStr"/>
      <c r="E5" s="2" t="inlineStr"/>
      <c r="F5" s="2" t="inlineStr"/>
    </row>
    <row r="6">
      <c r="A6" s="2" t="inlineStr">
        <is>
          <t>Операции</t>
        </is>
      </c>
      <c r="B6" s="2" t="inlineStr">
        <is>
          <t>orders-service</t>
        </is>
      </c>
      <c r="C6" s="4">
        <f>SUMPRODUCT(SUMIF('2. Классификация сервисов'!A2:A6,TRIM(MID(SUBSTITUTE(B6,",",REPT(" ",99)),(ROW(INDIRECT("1:"&amp;LEN(B6)-LEN(SUBSTITUTE(B6,",",""))+1))-1)*99+1,99)),'2. Классификация сервисов'!B2:B6))</f>
        <v/>
      </c>
      <c r="D6" s="2" t="inlineStr"/>
      <c r="E6" s="2" t="inlineStr"/>
      <c r="F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0" t="inlineStr">
        <is>
          <t>Как заполнять аудит эндпоинтов</t>
        </is>
      </c>
    </row>
    <row r="2">
      <c r="A2" s="11" t="inlineStr"/>
    </row>
    <row r="3">
      <c r="A3" s="12" t="inlineStr">
        <is>
          <t>Лист 1: Аудит эндпоинтов — ИСТОЧНИК ДАННЫХ</t>
        </is>
      </c>
    </row>
    <row r="4">
      <c r="A4" s="13" t="inlineStr">
        <is>
          <t>Заполняете ВЫ вручную. Это основа всего.</t>
        </is>
      </c>
    </row>
    <row r="5">
      <c r="A5" s="13" t="inlineStr">
        <is>
          <t>Столбец G ("Во кого ходит") — через запятую перечислите сервисы, в которые ходит эндпоинт.</t>
        </is>
      </c>
    </row>
    <row r="6">
      <c r="A6" s="13" t="inlineStr">
        <is>
          <t>Пример: accounts-service, clients-service</t>
        </is>
      </c>
    </row>
    <row r="7">
      <c r="A7" s="13" t="inlineStr">
        <is>
          <t>Столбец H ("Кто вызывает") — через запятую перечислите, кто ходит в этот эндпоинт.</t>
        </is>
      </c>
    </row>
    <row r="8">
      <c r="A8" s="13" t="inlineStr">
        <is>
          <t>Пример: web-gateway, cards-service</t>
        </is>
      </c>
    </row>
    <row r="9">
      <c r="A9" s="11" t="inlineStr"/>
    </row>
    <row r="10">
      <c r="A10" s="12" t="inlineStr">
        <is>
          <t>Лист 2: Классификация сервисов — АВТОМАТИЧЕСКИ</t>
        </is>
      </c>
    </row>
    <row r="11">
      <c r="A11" s="13" t="inlineStr">
        <is>
          <t>Столбец A: заполняете список сервисов вручную.</t>
        </is>
      </c>
    </row>
    <row r="12">
      <c r="A12" s="13" t="inlineStr">
        <is>
          <t>Столбцы B-F: считаются формулами (COUNTIF, COUNTIFS).</t>
        </is>
      </c>
    </row>
    <row r="13">
      <c r="A13" s="13" t="inlineStr">
        <is>
          <t>Столбцы G-H: считаются формулами (FILTER + UNIQUE + TEXTJOIN).</t>
        </is>
      </c>
    </row>
    <row r="14">
      <c r="A14" s="11" t="inlineStr"/>
    </row>
    <row r="15">
      <c r="A15" s="12" t="inlineStr">
        <is>
          <t>Лист 3: Матрица зависимостей — АВТОМАТИЧЕСКИ</t>
        </is>
      </c>
    </row>
    <row r="16">
      <c r="A16" s="13" t="inlineStr">
        <is>
          <t>Строки и столбцы берутся из листа 2 (столбец A).</t>
        </is>
      </c>
    </row>
    <row r="17">
      <c r="A17" s="13" t="inlineStr">
        <is>
          <t>Ячейка = "+", если сервис строки ВЫЗЫВАЕТ сервис столбца (по данным листа 1).</t>
        </is>
      </c>
    </row>
    <row r="18">
      <c r="A18" s="13" t="inlineStr">
        <is>
          <t>Диагональ серая — сервис не вызывает сам себя.</t>
        </is>
      </c>
    </row>
    <row r="19">
      <c r="A19" s="13" t="inlineStr">
        <is>
          <t>По матрице видно группы связанных сервисов для объединения.</t>
        </is>
      </c>
    </row>
    <row r="20">
      <c r="A20" s="11" t="inlineStr"/>
    </row>
    <row r="21">
      <c r="A21" s="12" t="inlineStr">
        <is>
          <t>Лист 4: Сводка</t>
        </is>
      </c>
    </row>
    <row r="22">
      <c r="A22" s="13" t="inlineStr">
        <is>
          <t>На основе листов 1-3 определите группы сервисов.</t>
        </is>
      </c>
    </row>
    <row r="23">
      <c r="A23" s="13" t="inlineStr">
        <is>
          <t>Заполните столбцы A-B (область и сервисы через запятую).</t>
        </is>
      </c>
    </row>
    <row r="24">
      <c r="A24" s="13" t="inlineStr">
        <is>
          <t>Столбец C считается автоматом — сумма эндпоинтов всех сервисов из группы.</t>
        </is>
      </c>
    </row>
    <row r="25">
      <c r="A25" s="13" t="inlineStr">
        <is>
          <t>Столбцы D-F заполняете вручную.</t>
        </is>
      </c>
    </row>
    <row r="26">
      <c r="A26" s="11" t="inlineStr"/>
    </row>
    <row r="27">
      <c r="A27" s="12" t="inlineStr">
        <is>
          <t>Классификация типов эндпоинтов</t>
        </is>
      </c>
    </row>
    <row r="28">
      <c r="A28" s="13" t="inlineStr">
        <is>
          <t>CRUD — простое получение/сохранение данных, без вызовов других сервисов</t>
        </is>
      </c>
    </row>
    <row r="29">
      <c r="A29" s="13" t="inlineStr">
        <is>
          <t>Агрегация — сбор данных из нескольких сервисов + маппинг</t>
        </is>
      </c>
    </row>
    <row r="30">
      <c r="A30" s="13" t="inlineStr">
        <is>
          <t>Бизнес-логика — вычисление признаков, валидация, правила</t>
        </is>
      </c>
    </row>
    <row r="31">
      <c r="A31" s="13" t="inlineStr">
        <is>
          <t>Внутренний — не для фронта, используется другими сервисами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2026-07-20T07:24:49Z</dcterms:created>
  <dcterms:modified xmlns:dcterms="http://purl.org/dc/terms/" xmlns:xsi="http://www.w3.org/2001/XMLSchema-instance" xsi:type="dcterms:W3CDTF">2026-07-20T07:24:49Z</dcterms:modified>
</cp:coreProperties>
</file>